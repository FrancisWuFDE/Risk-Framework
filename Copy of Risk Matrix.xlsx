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5dimensionsenergycom-my.sharepoint.com/personal/francis_wu_5dimensionsenergy_com/Documents/Risk Framework/"/>
    </mc:Choice>
  </mc:AlternateContent>
  <xr:revisionPtr revIDLastSave="477" documentId="8_{F54C2AD7-5BC7-4E91-9863-9D013488FD84}" xr6:coauthVersionLast="47" xr6:coauthVersionMax="47" xr10:uidLastSave="{ED66C817-EE9F-4A9E-90CD-DEE6EDD3EEB7}"/>
  <bookViews>
    <workbookView xWindow="-38510" yWindow="-9650" windowWidth="38620" windowHeight="21100" xr2:uid="{73F5E8B7-88DF-43BA-B52D-D6D0AEBE1DCD}"/>
  </bookViews>
  <sheets>
    <sheet name="Sheet1" sheetId="1" r:id="rId1"/>
  </sheets>
  <definedNames>
    <definedName name="_xlnm._FilterDatabase" localSheetId="0" hidden="1">Sheet1!$A$25:$H$40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8" i="1" l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47" i="1"/>
  <c r="D9" i="1"/>
  <c r="D11" i="1"/>
  <c r="D12" i="1"/>
  <c r="C10" i="1"/>
  <c r="B10" i="1"/>
  <c r="D10" i="1" s="1"/>
  <c r="E33" i="1"/>
  <c r="E34" i="1"/>
  <c r="E35" i="1"/>
  <c r="E36" i="1"/>
  <c r="E37" i="1"/>
  <c r="E38" i="1"/>
  <c r="E39" i="1"/>
  <c r="E40" i="1"/>
  <c r="E41" i="1"/>
  <c r="E29" i="1"/>
  <c r="E30" i="1"/>
  <c r="E31" i="1"/>
  <c r="E32" i="1"/>
  <c r="E28" i="1"/>
  <c r="D3" i="1"/>
  <c r="D4" i="1"/>
  <c r="D5" i="1"/>
  <c r="D6" i="1"/>
  <c r="D2" i="1"/>
  <c r="D8" i="1"/>
  <c r="D7" i="1"/>
</calcChain>
</file>

<file path=xl/sharedStrings.xml><?xml version="1.0" encoding="utf-8"?>
<sst xmlns="http://schemas.openxmlformats.org/spreadsheetml/2006/main" count="148" uniqueCount="116">
  <si>
    <t>Net Exposure</t>
  </si>
  <si>
    <t>Gross Exposure</t>
  </si>
  <si>
    <t>Portfolio Overview</t>
  </si>
  <si>
    <t>Today</t>
  </si>
  <si>
    <t>Change</t>
  </si>
  <si>
    <t>Beta (B3000)</t>
  </si>
  <si>
    <t>Factor Exposure</t>
  </si>
  <si>
    <t># Stocks</t>
  </si>
  <si>
    <t>Prev</t>
  </si>
  <si>
    <t>Daily return</t>
  </si>
  <si>
    <t>Daily turnover</t>
  </si>
  <si>
    <t>Style</t>
  </si>
  <si>
    <t xml:space="preserve">            US Valuation</t>
  </si>
  <si>
    <t xml:space="preserve">            US Liquidity</t>
  </si>
  <si>
    <t xml:space="preserve">            US Mid-Cap</t>
  </si>
  <si>
    <t xml:space="preserve">            US EarnYield</t>
  </si>
  <si>
    <t xml:space="preserve">            US Leverage</t>
  </si>
  <si>
    <t xml:space="preserve">            US Size</t>
  </si>
  <si>
    <t xml:space="preserve">            US LongRev</t>
  </si>
  <si>
    <t xml:space="preserve">            US Beta</t>
  </si>
  <si>
    <t xml:space="preserve">            US Variability</t>
  </si>
  <si>
    <t xml:space="preserve">            US Growth</t>
  </si>
  <si>
    <t xml:space="preserve">            US ResVol</t>
  </si>
  <si>
    <t xml:space="preserve">            US Profit</t>
  </si>
  <si>
    <t xml:space="preserve">            US Momentum</t>
  </si>
  <si>
    <t>Factor</t>
  </si>
  <si>
    <t xml:space="preserve">            US DvdYield</t>
  </si>
  <si>
    <t>Industry</t>
  </si>
  <si>
    <t xml:space="preserve">            US Biotech</t>
  </si>
  <si>
    <t xml:space="preserve">            US MedEquip</t>
  </si>
  <si>
    <t xml:space="preserve">            US Pharma</t>
  </si>
  <si>
    <t xml:space="preserve">            US HealthSrv</t>
  </si>
  <si>
    <t xml:space="preserve">            US ManagCare</t>
  </si>
  <si>
    <t xml:space="preserve">            US Software</t>
  </si>
  <si>
    <t xml:space="preserve">            US Semicon</t>
  </si>
  <si>
    <t xml:space="preserve">            US CompHard</t>
  </si>
  <si>
    <t xml:space="preserve">            US CommEquip</t>
  </si>
  <si>
    <t xml:space="preserve">            US TechServ</t>
  </si>
  <si>
    <t xml:space="preserve">            US Chemicals</t>
  </si>
  <si>
    <t xml:space="preserve">            US MetalMine</t>
  </si>
  <si>
    <t xml:space="preserve">            US Construct</t>
  </si>
  <si>
    <t xml:space="preserve">            US AssetMgmt</t>
  </si>
  <si>
    <t xml:space="preserve">            US Insurance</t>
  </si>
  <si>
    <t xml:space="preserve">            US Banks</t>
  </si>
  <si>
    <t xml:space="preserve">            US FinServ</t>
  </si>
  <si>
    <t xml:space="preserve">            US SpecFin</t>
  </si>
  <si>
    <t xml:space="preserve">            US Internet</t>
  </si>
  <si>
    <t xml:space="preserve">            US Media</t>
  </si>
  <si>
    <t xml:space="preserve">            US Telecom</t>
  </si>
  <si>
    <t xml:space="preserve">            US RetailStp</t>
  </si>
  <si>
    <t xml:space="preserve">            US BevTobaco</t>
  </si>
  <si>
    <t xml:space="preserve">            US Food</t>
  </si>
  <si>
    <t xml:space="preserve">            US HouseProd</t>
  </si>
  <si>
    <t xml:space="preserve">            US RetailDsc</t>
  </si>
  <si>
    <t xml:space="preserve">            US HomeOffic</t>
  </si>
  <si>
    <t xml:space="preserve">            US AutoMobil</t>
  </si>
  <si>
    <t xml:space="preserve">            US Apparel</t>
  </si>
  <si>
    <t xml:space="preserve">            US ConsServ</t>
  </si>
  <si>
    <t xml:space="preserve">            US Utilities</t>
  </si>
  <si>
    <t xml:space="preserve">            US REITs</t>
  </si>
  <si>
    <t xml:space="preserve">         HealthCare</t>
  </si>
  <si>
    <t xml:space="preserve">         Technology</t>
  </si>
  <si>
    <t xml:space="preserve">         Materials</t>
  </si>
  <si>
    <t xml:space="preserve">         Financials</t>
  </si>
  <si>
    <t xml:space="preserve">         Communications</t>
  </si>
  <si>
    <t xml:space="preserve">         ConsumerStap</t>
  </si>
  <si>
    <t xml:space="preserve">         ConsumerDisc</t>
  </si>
  <si>
    <t xml:space="preserve">         Utilities</t>
  </si>
  <si>
    <t xml:space="preserve">         RealEstate</t>
  </si>
  <si>
    <t xml:space="preserve">         Industrials</t>
  </si>
  <si>
    <t xml:space="preserve">            US Aerospace</t>
  </si>
  <si>
    <t xml:space="preserve">            US IndServ</t>
  </si>
  <si>
    <t xml:space="preserve">            US Airlines</t>
  </si>
  <si>
    <t xml:space="preserve">            US Transport</t>
  </si>
  <si>
    <t xml:space="preserve">            US IndEquip</t>
  </si>
  <si>
    <t xml:space="preserve">         Energy</t>
  </si>
  <si>
    <t xml:space="preserve">            US OilServ</t>
  </si>
  <si>
    <t xml:space="preserve">            US Expl&amp;Prod</t>
  </si>
  <si>
    <t>Risk Decomposition</t>
  </si>
  <si>
    <t>Limit</t>
  </si>
  <si>
    <t xml:space="preserve">Limit </t>
  </si>
  <si>
    <t xml:space="preserve">      PALANTIR TECHNOLOGIES INC-A</t>
  </si>
  <si>
    <t xml:space="preserve">      NUSCALE POWER CORP</t>
  </si>
  <si>
    <t xml:space="preserve">      ROBINHOOD MARKETS INC - A</t>
  </si>
  <si>
    <t xml:space="preserve">      MONGODB INC</t>
  </si>
  <si>
    <t xml:space="preserve">      CARVANA CO</t>
  </si>
  <si>
    <t xml:space="preserve">      KRATOS DEFENSE &amp; SECURITY</t>
  </si>
  <si>
    <t xml:space="preserve">      HP INC</t>
  </si>
  <si>
    <t xml:space="preserve">      GENEDX HOLDINGS CORP</t>
  </si>
  <si>
    <t xml:space="preserve">      AUTODESK INC</t>
  </si>
  <si>
    <t xml:space="preserve">      ALCOA CORP</t>
  </si>
  <si>
    <t xml:space="preserve">      ZOOM COMMUNICATIONS INC</t>
  </si>
  <si>
    <t xml:space="preserve">      SOMNIGROUP INTERNATIONAL INC</t>
  </si>
  <si>
    <t xml:space="preserve">      TYSON FOODS INC-CL A</t>
  </si>
  <si>
    <t xml:space="preserve">      RUM GROUP INC</t>
  </si>
  <si>
    <t xml:space="preserve">      QUANTA SERVICES INC</t>
  </si>
  <si>
    <t>Security</t>
  </si>
  <si>
    <t>% Wgt</t>
  </si>
  <si>
    <t>% Systematic</t>
  </si>
  <si>
    <t>% Idiosyncratic</t>
  </si>
  <si>
    <t>Market</t>
  </si>
  <si>
    <t>Currency</t>
  </si>
  <si>
    <t>Idiosyncratic</t>
  </si>
  <si>
    <t>Country</t>
  </si>
  <si>
    <t>Trends</t>
  </si>
  <si>
    <t xml:space="preserve">            US Market</t>
  </si>
  <si>
    <t>Exposure</t>
  </si>
  <si>
    <t>Top 15 Factors by Contribution</t>
  </si>
  <si>
    <t>VaR (1-day 95% Para)</t>
  </si>
  <si>
    <t>CVaR (1-day 95% Para)</t>
  </si>
  <si>
    <t>Volatility (1-day)</t>
  </si>
  <si>
    <t>Volatility (Std %)</t>
  </si>
  <si>
    <t>Contribution to Risk (%)</t>
  </si>
  <si>
    <t>Iso Risk (%)</t>
  </si>
  <si>
    <t>Top 15 Contributors to Risk</t>
  </si>
  <si>
    <t>PCR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</si>
</sst>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%"/>
    <numFmt numFmtId="166" formatCode="0.0000"/>
    <numFmt numFmtId="170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9" fontId="0" fillId="0" borderId="0" xfId="0" applyNumberFormat="1"/>
    <xf numFmtId="166" fontId="0" fillId="0" borderId="0" xfId="0" applyNumberFormat="1"/>
    <xf numFmtId="2" fontId="3" fillId="0" borderId="0" xfId="0" applyNumberFormat="1" applyFont="1"/>
    <xf numFmtId="10" fontId="0" fillId="0" borderId="0" xfId="1" applyNumberFormat="1" applyFont="1"/>
    <xf numFmtId="170" fontId="0" fillId="0" borderId="0" xfId="0" applyNumberFormat="1"/>
  </cellXfs>
  <cellStyles count="2">
    <cellStyle name="Normal" xfId="0" builtinId="0"/>
    <cellStyle name="Percent" xfId="1" builtinId="5"/>
  </cellStyles>
  <dxfs count="13"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</dxfs>
  <tableStyles count="0" defaultTableStyle="TableStyleMedium2" defaultPivotStyle="PivotStyleLight16"/>
  <colors>
    <mruColors>
      <color rgb="FFFF6D6D"/>
      <color rgb="FFFFFF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Decomposition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Style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Sheet1!$B$14:$C$14</c:f>
              <c:strCache>
                <c:ptCount val="2"/>
                <c:pt idx="0">
                  <c:v>Today</c:v>
                </c:pt>
                <c:pt idx="1">
                  <c:v>Prev</c:v>
                </c:pt>
              </c:strCache>
            </c:strRef>
          </c:cat>
          <c:val>
            <c:numRef>
              <c:f>Sheet1!$B$15:$C$15</c:f>
              <c:numCache>
                <c:formatCode>0.00%</c:formatCode>
                <c:ptCount val="2"/>
                <c:pt idx="0">
                  <c:v>9.1102607984381398E-2</c:v>
                </c:pt>
                <c:pt idx="1">
                  <c:v>5.9856060158516702E-2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A-4C58-8E4E-7E28F932756D}"/>
            </c:ext>
          </c:extLst>
        </c:ser>
        <c:ser>
          <c:idx val="1"/>
          <c:order val="1"/>
          <c:tx>
            <c:strRef>
              <c:f>Sheet1!$A$16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Sheet1!$B$14:$C$14</c:f>
              <c:strCache>
                <c:ptCount val="2"/>
                <c:pt idx="0">
                  <c:v>Today</c:v>
                </c:pt>
                <c:pt idx="1">
                  <c:v>Prev</c:v>
                </c:pt>
              </c:strCache>
            </c:strRef>
          </c:cat>
          <c:val>
            <c:numRef>
              <c:f>Sheet1!$B$16:$C$16</c:f>
              <c:numCache>
                <c:formatCode>0.00%</c:formatCode>
                <c:ptCount val="2"/>
                <c:pt idx="0">
                  <c:v>7.9856945459025303E-2</c:v>
                </c:pt>
                <c:pt idx="1">
                  <c:v>7.4953257056733905E-2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A-4C58-8E4E-7E28F932756D}"/>
            </c:ext>
          </c:extLst>
        </c:ser>
        <c:ser>
          <c:idx val="2"/>
          <c:order val="2"/>
          <c:tx>
            <c:strRef>
              <c:f>Sheet1!$A$17</c:f>
              <c:strCache>
                <c:ptCount val="1"/>
                <c:pt idx="0">
                  <c:v>Market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Sheet1!$B$14:$C$14</c:f>
              <c:strCache>
                <c:ptCount val="2"/>
                <c:pt idx="0">
                  <c:v>Today</c:v>
                </c:pt>
                <c:pt idx="1">
                  <c:v>Prev</c:v>
                </c:pt>
              </c:strCache>
            </c:strRef>
          </c:cat>
          <c:val>
            <c:numRef>
              <c:f>Sheet1!$B$17:$C$17</c:f>
              <c:numCache>
                <c:formatCode>0.00%</c:formatCode>
                <c:ptCount val="2"/>
                <c:pt idx="0">
                  <c:v>7.5322155836291E-3</c:v>
                </c:pt>
                <c:pt idx="1">
                  <c:v>6.87316433810241E-3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EA-4C58-8E4E-7E28F932756D}"/>
            </c:ext>
          </c:extLst>
        </c:ser>
        <c:ser>
          <c:idx val="3"/>
          <c:order val="3"/>
          <c:tx>
            <c:strRef>
              <c:f>Sheet1!$A$18</c:f>
              <c:strCache>
                <c:ptCount val="1"/>
                <c:pt idx="0">
                  <c:v>Currency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Sheet1!$B$14:$C$14</c:f>
              <c:strCache>
                <c:ptCount val="2"/>
                <c:pt idx="0">
                  <c:v>Today</c:v>
                </c:pt>
                <c:pt idx="1">
                  <c:v>Prev</c:v>
                </c:pt>
              </c:strCache>
            </c:strRef>
          </c:cat>
          <c:val>
            <c:numRef>
              <c:f>Sheet1!$B$18:$C$18</c:f>
              <c:numCache>
                <c:formatCode>0.00%</c:formatCode>
                <c:ptCount val="2"/>
                <c:pt idx="0">
                  <c:v>1.62044505126994E-3</c:v>
                </c:pt>
                <c:pt idx="1">
                  <c:v>1.2302046981300799E-3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EA-4C58-8E4E-7E28F932756D}"/>
            </c:ext>
          </c:extLst>
        </c:ser>
        <c:ser>
          <c:idx val="4"/>
          <c:order val="4"/>
          <c:tx>
            <c:strRef>
              <c:f>Sheet1!$A$19</c:f>
              <c:strCache>
                <c:ptCount val="1"/>
                <c:pt idx="0">
                  <c:v>Country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Sheet1!$B$14:$C$14</c:f>
              <c:strCache>
                <c:ptCount val="2"/>
                <c:pt idx="0">
                  <c:v>Today</c:v>
                </c:pt>
                <c:pt idx="1">
                  <c:v>Prev</c:v>
                </c:pt>
              </c:strCache>
            </c:strRef>
          </c:cat>
          <c:val>
            <c:numRef>
              <c:f>Sheet1!$B$19:$C$19</c:f>
              <c:numCache>
                <c:formatCode>0.00%</c:formatCode>
                <c:ptCount val="2"/>
                <c:pt idx="0">
                  <c:v>3.7939161909040999E-4</c:v>
                </c:pt>
                <c:pt idx="1">
                  <c:v>4.0930176284945298E-4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EA-4C58-8E4E-7E28F932756D}"/>
            </c:ext>
          </c:extLst>
        </c:ser>
        <c:ser>
          <c:idx val="5"/>
          <c:order val="5"/>
          <c:tx>
            <c:strRef>
              <c:f>Sheet1!$A$20</c:f>
              <c:strCache>
                <c:ptCount val="1"/>
                <c:pt idx="0">
                  <c:v>Idiosyncratic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Sheet1!$B$14:$C$14</c:f>
              <c:strCache>
                <c:ptCount val="2"/>
                <c:pt idx="0">
                  <c:v>Today</c:v>
                </c:pt>
                <c:pt idx="1">
                  <c:v>Prev</c:v>
                </c:pt>
              </c:strCache>
            </c:strRef>
          </c:cat>
          <c:val>
            <c:numRef>
              <c:f>Sheet1!$B$20:$C$20</c:f>
              <c:numCache>
                <c:formatCode>0.00%</c:formatCode>
                <c:ptCount val="2"/>
                <c:pt idx="0">
                  <c:v>0.81950839430264499</c:v>
                </c:pt>
                <c:pt idx="1">
                  <c:v>0.85667801198570304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EA-4C58-8E4E-7E28F9327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3169184"/>
        <c:axId val="1293171584"/>
      </c:barChart>
      <c:catAx>
        <c:axId val="129316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171584"/>
        <c:crosses val="autoZero"/>
        <c:auto val="1"/>
        <c:lblAlgn val="ctr"/>
        <c:lblOffset val="100"/>
        <c:noMultiLvlLbl val="0"/>
      </c:catAx>
      <c:valAx>
        <c:axId val="129317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16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12</xdr:row>
      <xdr:rowOff>82550</xdr:rowOff>
    </xdr:from>
    <xdr:to>
      <xdr:col>7</xdr:col>
      <xdr:colOff>292100</xdr:colOff>
      <xdr:row>22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8F46E5-A4E9-7EB2-5D39-DC6826996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FA0F-89CC-422C-8290-D2620D4D1B3C}">
  <dimension ref="A1:N114"/>
  <sheetViews>
    <sheetView tabSelected="1" zoomScaleNormal="100" workbookViewId="0">
      <selection activeCell="E5" sqref="E5"/>
    </sheetView>
  </sheetViews>
  <sheetFormatPr defaultRowHeight="14.5" x14ac:dyDescent="0.35"/>
  <cols>
    <col min="1" max="1" width="23.36328125" bestFit="1" customWidth="1"/>
    <col min="2" max="2" width="31.90625" bestFit="1" customWidth="1"/>
    <col min="3" max="3" width="14.54296875" bestFit="1" customWidth="1"/>
    <col min="4" max="4" width="11.81640625" bestFit="1" customWidth="1"/>
    <col min="5" max="5" width="11.81640625" customWidth="1"/>
    <col min="6" max="6" width="14.08984375" bestFit="1" customWidth="1"/>
    <col min="7" max="7" width="10.08984375" bestFit="1" customWidth="1"/>
    <col min="8" max="8" width="20" bestFit="1" customWidth="1"/>
    <col min="10" max="10" width="26.453125" bestFit="1" customWidth="1"/>
    <col min="12" max="12" width="14.08984375" bestFit="1" customWidth="1"/>
    <col min="13" max="13" width="10.08984375" bestFit="1" customWidth="1"/>
    <col min="14" max="14" width="20" bestFit="1" customWidth="1"/>
  </cols>
  <sheetData>
    <row r="1" spans="1:5" x14ac:dyDescent="0.35">
      <c r="A1" s="1" t="s">
        <v>2</v>
      </c>
      <c r="B1" s="2" t="s">
        <v>3</v>
      </c>
      <c r="C1" s="2" t="s">
        <v>8</v>
      </c>
      <c r="D1" s="2" t="s">
        <v>4</v>
      </c>
      <c r="E1" s="2"/>
    </row>
    <row r="2" spans="1:5" x14ac:dyDescent="0.35">
      <c r="A2" t="s">
        <v>7</v>
      </c>
      <c r="B2" s="7">
        <v>2005</v>
      </c>
      <c r="C2" s="7">
        <v>2006</v>
      </c>
      <c r="D2" s="7">
        <f>B2-C2</f>
        <v>-1</v>
      </c>
      <c r="E2" s="7"/>
    </row>
    <row r="3" spans="1:5" x14ac:dyDescent="0.35">
      <c r="A3" t="s">
        <v>9</v>
      </c>
      <c r="B3" s="7"/>
      <c r="C3" s="7"/>
      <c r="D3" s="7">
        <f>B3-C3</f>
        <v>0</v>
      </c>
      <c r="E3" s="7"/>
    </row>
    <row r="4" spans="1:5" x14ac:dyDescent="0.35">
      <c r="A4" t="s">
        <v>10</v>
      </c>
      <c r="B4" s="8">
        <v>0.23519999999999999</v>
      </c>
      <c r="C4" s="8">
        <v>0.25080000000000002</v>
      </c>
      <c r="D4" s="8">
        <f>B4-C4</f>
        <v>-1.5600000000000031E-2</v>
      </c>
      <c r="E4" s="8"/>
    </row>
    <row r="5" spans="1:5" x14ac:dyDescent="0.35">
      <c r="A5" t="s">
        <v>1</v>
      </c>
      <c r="B5" s="13">
        <v>300247802.25260001</v>
      </c>
      <c r="C5" s="13">
        <v>299867057.24760002</v>
      </c>
      <c r="D5" s="13">
        <f>B5-C5</f>
        <v>380745.00499999523</v>
      </c>
      <c r="E5" s="3"/>
    </row>
    <row r="6" spans="1:5" x14ac:dyDescent="0.35">
      <c r="A6" t="s">
        <v>0</v>
      </c>
      <c r="B6" s="13">
        <v>-342895.45999999769</v>
      </c>
      <c r="C6" s="13">
        <v>-186263.84000000096</v>
      </c>
      <c r="D6" s="13">
        <f>B6-C6</f>
        <v>-156631.61999999674</v>
      </c>
      <c r="E6" s="3"/>
    </row>
    <row r="7" spans="1:5" x14ac:dyDescent="0.35">
      <c r="A7" t="s">
        <v>5</v>
      </c>
      <c r="B7" s="4">
        <v>-2.94116574185383E-3</v>
      </c>
      <c r="C7" s="4">
        <v>-3.0994966759336998E-3</v>
      </c>
      <c r="D7" s="4">
        <f>B7-C7</f>
        <v>1.583309340798698E-4</v>
      </c>
      <c r="E7" s="4"/>
    </row>
    <row r="8" spans="1:5" x14ac:dyDescent="0.35">
      <c r="A8" t="s">
        <v>110</v>
      </c>
      <c r="B8" s="5">
        <v>6.01253674593036E-4</v>
      </c>
      <c r="C8" s="5">
        <v>5.8662921886891504E-4</v>
      </c>
      <c r="D8" s="6">
        <f>B8-C8</f>
        <v>1.4624455724120957E-5</v>
      </c>
      <c r="E8" s="6"/>
    </row>
    <row r="9" spans="1:5" x14ac:dyDescent="0.35">
      <c r="A9" t="s">
        <v>98</v>
      </c>
      <c r="B9" s="8">
        <v>0.18049160569735501</v>
      </c>
      <c r="C9" s="8">
        <v>0.14332198801429699</v>
      </c>
      <c r="D9" s="6">
        <f>B9-C9</f>
        <v>3.7169617683058015E-2</v>
      </c>
      <c r="E9" s="8"/>
    </row>
    <row r="10" spans="1:5" x14ac:dyDescent="0.35">
      <c r="A10" t="s">
        <v>99</v>
      </c>
      <c r="B10" s="8">
        <f>1-B9</f>
        <v>0.81950839430264499</v>
      </c>
      <c r="C10" s="8">
        <f>1-C9</f>
        <v>0.85667801198570304</v>
      </c>
      <c r="D10" s="6">
        <f>B10-C10</f>
        <v>-3.7169617683058043E-2</v>
      </c>
      <c r="E10" s="6"/>
    </row>
    <row r="11" spans="1:5" x14ac:dyDescent="0.35">
      <c r="A11" t="s">
        <v>108</v>
      </c>
      <c r="B11" s="5">
        <v>9.88974287372255E-4</v>
      </c>
      <c r="C11" s="5">
        <v>9.6491919833224305E-4</v>
      </c>
      <c r="D11" s="6">
        <f>B11-C11</f>
        <v>2.4055089040011949E-5</v>
      </c>
      <c r="E11" s="6"/>
    </row>
    <row r="12" spans="1:5" x14ac:dyDescent="0.35">
      <c r="A12" t="s">
        <v>109</v>
      </c>
      <c r="B12" s="5">
        <v>1.2402136551439599E-3</v>
      </c>
      <c r="C12" s="5">
        <v>1.2100476030189899E-3</v>
      </c>
      <c r="D12" s="6">
        <f>B12-C12</f>
        <v>3.0166052124970012E-5</v>
      </c>
      <c r="E12" s="6"/>
    </row>
    <row r="13" spans="1:5" x14ac:dyDescent="0.35">
      <c r="D13" s="9"/>
      <c r="E13" s="9"/>
    </row>
    <row r="14" spans="1:5" x14ac:dyDescent="0.35">
      <c r="A14" s="1" t="s">
        <v>78</v>
      </c>
      <c r="B14" t="s">
        <v>3</v>
      </c>
      <c r="C14" t="s">
        <v>8</v>
      </c>
    </row>
    <row r="15" spans="1:5" x14ac:dyDescent="0.35">
      <c r="A15" t="s">
        <v>11</v>
      </c>
      <c r="B15" s="8">
        <v>9.1102607984381398E-2</v>
      </c>
      <c r="C15" s="12">
        <v>5.9856060158516702E-2</v>
      </c>
    </row>
    <row r="16" spans="1:5" x14ac:dyDescent="0.35">
      <c r="A16" t="s">
        <v>27</v>
      </c>
      <c r="B16" s="8">
        <v>7.9856945459025303E-2</v>
      </c>
      <c r="C16" s="12">
        <v>7.4953257056733905E-2</v>
      </c>
    </row>
    <row r="17" spans="1:14" x14ac:dyDescent="0.35">
      <c r="A17" t="s">
        <v>100</v>
      </c>
      <c r="B17" s="8">
        <v>7.5322155836291E-3</v>
      </c>
      <c r="C17" s="12">
        <v>6.87316433810241E-3</v>
      </c>
    </row>
    <row r="18" spans="1:14" x14ac:dyDescent="0.35">
      <c r="A18" t="s">
        <v>101</v>
      </c>
      <c r="B18" s="8">
        <v>1.62044505126994E-3</v>
      </c>
      <c r="C18" s="12">
        <v>1.2302046981300799E-3</v>
      </c>
    </row>
    <row r="19" spans="1:14" x14ac:dyDescent="0.35">
      <c r="A19" t="s">
        <v>103</v>
      </c>
      <c r="B19" s="8">
        <v>3.7939161909040999E-4</v>
      </c>
      <c r="C19" s="12">
        <v>4.0930176284945298E-4</v>
      </c>
    </row>
    <row r="20" spans="1:14" x14ac:dyDescent="0.35">
      <c r="A20" t="s">
        <v>102</v>
      </c>
      <c r="B20" s="12">
        <v>0.81950839430264499</v>
      </c>
      <c r="C20" s="12">
        <v>0.85667801198570304</v>
      </c>
    </row>
    <row r="21" spans="1:14" x14ac:dyDescent="0.35">
      <c r="B21" s="8"/>
    </row>
    <row r="25" spans="1:14" x14ac:dyDescent="0.35">
      <c r="A25" s="1" t="s">
        <v>6</v>
      </c>
      <c r="B25" t="s">
        <v>25</v>
      </c>
      <c r="C25" t="s">
        <v>3</v>
      </c>
      <c r="D25" t="s">
        <v>8</v>
      </c>
      <c r="E25" t="s">
        <v>4</v>
      </c>
      <c r="F25" t="s">
        <v>111</v>
      </c>
      <c r="G25" t="s">
        <v>113</v>
      </c>
      <c r="H25" t="s">
        <v>112</v>
      </c>
      <c r="J25" s="1" t="s">
        <v>107</v>
      </c>
      <c r="K25" t="s">
        <v>106</v>
      </c>
      <c r="L25" t="s">
        <v>111</v>
      </c>
      <c r="M25" t="s">
        <v>113</v>
      </c>
      <c r="N25" t="s">
        <v>112</v>
      </c>
    </row>
    <row r="26" spans="1:14" x14ac:dyDescent="0.35">
      <c r="A26" t="s">
        <v>11</v>
      </c>
      <c r="D26" s="10"/>
      <c r="E26" s="10"/>
      <c r="F26" s="10"/>
      <c r="G26" s="10">
        <v>1.7236885680113799E-2</v>
      </c>
      <c r="H26" s="10">
        <v>9.1102607984381407</v>
      </c>
      <c r="J26" t="s">
        <v>12</v>
      </c>
      <c r="K26" s="10">
        <v>6.0560263604701597E-2</v>
      </c>
      <c r="L26" s="10">
        <v>0.13919430363962801</v>
      </c>
      <c r="M26" s="10">
        <v>8.4296437206887505E-3</v>
      </c>
      <c r="N26" s="10">
        <v>3.5028854085058398</v>
      </c>
    </row>
    <row r="27" spans="1:14" x14ac:dyDescent="0.35">
      <c r="B27" t="s">
        <v>79</v>
      </c>
      <c r="C27" s="11">
        <v>0.05</v>
      </c>
      <c r="H27">
        <v>3</v>
      </c>
      <c r="J27" t="s">
        <v>24</v>
      </c>
      <c r="K27" s="10">
        <v>-3.1906165790722002E-2</v>
      </c>
      <c r="L27" s="10">
        <v>0.30956363369930301</v>
      </c>
      <c r="M27" s="10">
        <v>9.8769886195882901E-3</v>
      </c>
      <c r="N27" s="10">
        <v>3.2304906890559599</v>
      </c>
    </row>
    <row r="28" spans="1:14" x14ac:dyDescent="0.35">
      <c r="B28" t="s">
        <v>12</v>
      </c>
      <c r="C28" s="10">
        <v>6.0560263604701597E-2</v>
      </c>
      <c r="D28" s="10">
        <v>5.5165101722818202E-2</v>
      </c>
      <c r="E28" s="10">
        <f t="shared" ref="E28:E41" si="0">C28-D28</f>
        <v>5.3951618818833952E-3</v>
      </c>
      <c r="F28" s="10">
        <v>0.13919430363962801</v>
      </c>
      <c r="G28" s="10">
        <v>8.4296437206887505E-3</v>
      </c>
      <c r="H28" s="10">
        <v>3.5028854085058398</v>
      </c>
      <c r="J28" t="s">
        <v>28</v>
      </c>
      <c r="K28" s="10">
        <v>7.8201102313974896E-3</v>
      </c>
      <c r="L28" s="10">
        <v>0.98944888289092303</v>
      </c>
      <c r="M28" s="10">
        <v>7.7375993325401304E-3</v>
      </c>
      <c r="N28" s="10">
        <v>1.87131902353075</v>
      </c>
    </row>
    <row r="29" spans="1:14" x14ac:dyDescent="0.35">
      <c r="B29" t="s">
        <v>13</v>
      </c>
      <c r="C29" s="10">
        <v>4.83550478571068E-2</v>
      </c>
      <c r="D29" s="10">
        <v>4.2335059335481498E-2</v>
      </c>
      <c r="E29" s="10">
        <f t="shared" si="0"/>
        <v>6.0199885216253024E-3</v>
      </c>
      <c r="F29" s="10">
        <v>7.7176746775754507E-2</v>
      </c>
      <c r="G29" s="10">
        <v>3.7318852837974199E-3</v>
      </c>
      <c r="H29" s="10">
        <v>-6.9866815001460303E-2</v>
      </c>
      <c r="J29" t="s">
        <v>33</v>
      </c>
      <c r="K29" s="10">
        <v>-6.8888287082576102E-3</v>
      </c>
      <c r="L29" s="10">
        <v>0.79602390540710799</v>
      </c>
      <c r="M29" s="10">
        <v>5.4836723320278204E-3</v>
      </c>
      <c r="N29" s="10">
        <v>1.6713488283829201</v>
      </c>
    </row>
    <row r="30" spans="1:14" x14ac:dyDescent="0.35">
      <c r="B30" t="s">
        <v>14</v>
      </c>
      <c r="C30" s="10">
        <v>4.7762413624190203E-2</v>
      </c>
      <c r="D30" s="10">
        <v>4.7796733473941401E-2</v>
      </c>
      <c r="E30" s="10">
        <f t="shared" si="0"/>
        <v>-3.4319849751197895E-5</v>
      </c>
      <c r="F30" s="10">
        <v>5.4149529731449597E-2</v>
      </c>
      <c r="G30" s="10">
        <v>2.5863122365888799E-3</v>
      </c>
      <c r="H30" s="10">
        <v>2.45922542500027E-2</v>
      </c>
      <c r="J30" t="s">
        <v>15</v>
      </c>
      <c r="K30" s="10">
        <v>3.1165278620861402E-2</v>
      </c>
      <c r="L30" s="10">
        <v>0.15882295877823799</v>
      </c>
      <c r="M30" s="10">
        <v>4.9497617617133803E-3</v>
      </c>
      <c r="N30" s="10">
        <v>1.3055730212962</v>
      </c>
    </row>
    <row r="31" spans="1:14" x14ac:dyDescent="0.35">
      <c r="B31" t="s">
        <v>15</v>
      </c>
      <c r="C31" s="10">
        <v>3.1165278620861402E-2</v>
      </c>
      <c r="D31" s="10">
        <v>2.87688694793246E-2</v>
      </c>
      <c r="E31" s="10">
        <f t="shared" si="0"/>
        <v>2.3964091415368018E-3</v>
      </c>
      <c r="F31" s="10">
        <v>0.15882295877823799</v>
      </c>
      <c r="G31" s="10">
        <v>4.9497617617133803E-3</v>
      </c>
      <c r="H31" s="10">
        <v>1.3055730212962</v>
      </c>
      <c r="J31" t="s">
        <v>38</v>
      </c>
      <c r="K31" s="10">
        <v>6.8920238399170497E-3</v>
      </c>
      <c r="L31" s="10">
        <v>0.53846541798944203</v>
      </c>
      <c r="M31" s="10">
        <v>3.71111649775413E-3</v>
      </c>
      <c r="N31" s="10">
        <v>0.916110847881621</v>
      </c>
    </row>
    <row r="32" spans="1:14" x14ac:dyDescent="0.35">
      <c r="B32" t="s">
        <v>16</v>
      </c>
      <c r="C32" s="10">
        <v>8.8455271035118698E-3</v>
      </c>
      <c r="D32" s="10">
        <v>4.3133703545293403E-3</v>
      </c>
      <c r="E32" s="10">
        <f t="shared" si="0"/>
        <v>4.5321567489825295E-3</v>
      </c>
      <c r="F32" s="10">
        <v>7.6678310358600996E-2</v>
      </c>
      <c r="G32" s="10">
        <v>6.782600725285E-4</v>
      </c>
      <c r="H32" s="10">
        <v>6.9746274155286406E-2</v>
      </c>
      <c r="J32" t="s">
        <v>22</v>
      </c>
      <c r="K32" s="10">
        <v>-1.17008668152927E-2</v>
      </c>
      <c r="L32" s="10">
        <v>0.29921743178512999</v>
      </c>
      <c r="M32" s="10">
        <v>3.5011033181317399E-3</v>
      </c>
      <c r="N32" s="10">
        <v>0.78890034233040396</v>
      </c>
    </row>
    <row r="33" spans="1:14" x14ac:dyDescent="0.35">
      <c r="B33" t="s">
        <v>17</v>
      </c>
      <c r="C33" s="10">
        <v>4.0308723925840204E-3</v>
      </c>
      <c r="D33" s="10">
        <v>-2.9977305027936202E-3</v>
      </c>
      <c r="E33" s="10">
        <f t="shared" si="0"/>
        <v>7.0286028953776402E-3</v>
      </c>
      <c r="F33" s="10">
        <v>0.13649724318834699</v>
      </c>
      <c r="G33" s="10">
        <v>5.5020296923173596E-4</v>
      </c>
      <c r="H33" s="10">
        <v>1.35680086402715E-2</v>
      </c>
      <c r="J33" t="s">
        <v>29</v>
      </c>
      <c r="K33" s="10">
        <v>-1.21840307620122E-2</v>
      </c>
      <c r="L33" s="10">
        <v>0.64235379555691996</v>
      </c>
      <c r="M33" s="10">
        <v>7.82645840516079E-3</v>
      </c>
      <c r="N33" s="10">
        <v>0.699301482567802</v>
      </c>
    </row>
    <row r="34" spans="1:14" x14ac:dyDescent="0.35">
      <c r="B34" t="s">
        <v>26</v>
      </c>
      <c r="C34" s="10">
        <v>-1.42275254917249E-3</v>
      </c>
      <c r="D34" s="10">
        <v>1.08722558585483E-3</v>
      </c>
      <c r="E34" s="10">
        <f t="shared" si="0"/>
        <v>-2.50997813502732E-3</v>
      </c>
      <c r="F34" s="10">
        <v>9.2370195918475298E-2</v>
      </c>
      <c r="G34" s="10">
        <v>1.31419931710573E-4</v>
      </c>
      <c r="H34" s="10">
        <v>-1.5504026334878801E-2</v>
      </c>
      <c r="J34" t="s">
        <v>39</v>
      </c>
      <c r="K34" s="10">
        <v>1.90583132560172E-3</v>
      </c>
      <c r="L34" s="10">
        <v>1.1521117413256501</v>
      </c>
      <c r="M34" s="10">
        <v>2.1957306472119701E-3</v>
      </c>
      <c r="N34" s="10">
        <v>0.57031060318062399</v>
      </c>
    </row>
    <row r="35" spans="1:14" x14ac:dyDescent="0.35">
      <c r="B35" t="s">
        <v>18</v>
      </c>
      <c r="C35" s="10">
        <v>-1.9019744960723001E-3</v>
      </c>
      <c r="D35" s="10">
        <v>1.7878220253478E-5</v>
      </c>
      <c r="E35" s="10">
        <f t="shared" si="0"/>
        <v>-1.9198527163257781E-3</v>
      </c>
      <c r="F35" s="10">
        <v>0.156554551151212</v>
      </c>
      <c r="G35" s="10">
        <v>2.9776276353365099E-4</v>
      </c>
      <c r="H35" s="10">
        <v>9.5168754978542006E-2</v>
      </c>
      <c r="J35" t="s">
        <v>30</v>
      </c>
      <c r="K35" s="10">
        <v>2.5506545882688601E-3</v>
      </c>
      <c r="L35" s="10">
        <v>0.93239069080664205</v>
      </c>
      <c r="M35" s="10">
        <v>2.3782065935651401E-3</v>
      </c>
      <c r="N35" s="10">
        <v>0.49419724095105699</v>
      </c>
    </row>
    <row r="36" spans="1:14" x14ac:dyDescent="0.35">
      <c r="B36" t="s">
        <v>19</v>
      </c>
      <c r="C36" s="10">
        <v>-3.5405111812560298E-3</v>
      </c>
      <c r="D36" s="10">
        <v>-4.7379618574557598E-3</v>
      </c>
      <c r="E36" s="10">
        <f t="shared" si="0"/>
        <v>1.19745067619973E-3</v>
      </c>
      <c r="F36" s="10">
        <v>0.47625830588019002</v>
      </c>
      <c r="G36" s="10">
        <v>1.68619785713487E-3</v>
      </c>
      <c r="H36" s="10">
        <v>7.8324574055411794E-2</v>
      </c>
      <c r="J36" t="s">
        <v>105</v>
      </c>
      <c r="K36" s="10">
        <v>-4.4161447021303698E-3</v>
      </c>
      <c r="L36" s="10">
        <v>1.04171946709647</v>
      </c>
      <c r="M36" s="10">
        <v>4.6003839057241402E-3</v>
      </c>
      <c r="N36" s="10">
        <v>0.49122013716314999</v>
      </c>
    </row>
    <row r="37" spans="1:14" x14ac:dyDescent="0.35">
      <c r="B37" t="s">
        <v>20</v>
      </c>
      <c r="C37" s="10">
        <v>-7.2235468126626602E-3</v>
      </c>
      <c r="D37" s="10">
        <v>5.3609318970871903E-3</v>
      </c>
      <c r="E37" s="10">
        <f t="shared" si="0"/>
        <v>-1.2584478709749851E-2</v>
      </c>
      <c r="F37" s="10">
        <v>8.4321357863538005E-2</v>
      </c>
      <c r="G37" s="10">
        <v>6.0909927583454801E-4</v>
      </c>
      <c r="H37" s="10">
        <v>1.4836612436873099E-2</v>
      </c>
      <c r="J37" t="s">
        <v>40</v>
      </c>
      <c r="K37" s="10">
        <v>5.7605466685553804E-3</v>
      </c>
      <c r="L37" s="10">
        <v>0.65983702486130802</v>
      </c>
      <c r="M37" s="10">
        <v>3.8010219753542998E-3</v>
      </c>
      <c r="N37" s="10">
        <v>0.31711991786268201</v>
      </c>
    </row>
    <row r="38" spans="1:14" x14ac:dyDescent="0.35">
      <c r="B38" t="s">
        <v>21</v>
      </c>
      <c r="C38" s="10">
        <v>-1.00213579170367E-2</v>
      </c>
      <c r="D38" s="10">
        <v>1.2713117287045401E-2</v>
      </c>
      <c r="E38" s="10">
        <f t="shared" si="0"/>
        <v>-2.2734475204082102E-2</v>
      </c>
      <c r="F38" s="10">
        <v>6.3270310792726797E-2</v>
      </c>
      <c r="G38" s="10">
        <v>6.34054429976063E-4</v>
      </c>
      <c r="H38" s="10">
        <v>8.5049401636413793E-2</v>
      </c>
      <c r="J38" t="s">
        <v>34</v>
      </c>
      <c r="K38" s="10">
        <v>1.77941820276181E-3</v>
      </c>
      <c r="L38" s="10">
        <v>1.22170900939345</v>
      </c>
      <c r="M38" s="10">
        <v>2.1739312497928002E-3</v>
      </c>
      <c r="N38" s="10">
        <v>0.30896427029644302</v>
      </c>
    </row>
    <row r="39" spans="1:14" x14ac:dyDescent="0.35">
      <c r="B39" t="s">
        <v>22</v>
      </c>
      <c r="C39" s="10">
        <v>-1.17008668152927E-2</v>
      </c>
      <c r="D39" s="10">
        <v>-2.9839196141205398E-3</v>
      </c>
      <c r="E39" s="10">
        <f t="shared" si="0"/>
        <v>-8.7169472011721615E-3</v>
      </c>
      <c r="F39" s="10">
        <v>0.29921743178512999</v>
      </c>
      <c r="G39" s="10">
        <v>3.5011033181317399E-3</v>
      </c>
      <c r="H39" s="10">
        <v>0.78890034233040396</v>
      </c>
      <c r="J39" t="s">
        <v>31</v>
      </c>
      <c r="K39" s="10">
        <v>-3.9621270268284103E-3</v>
      </c>
      <c r="L39" s="10">
        <v>0.67047392228637803</v>
      </c>
      <c r="M39" s="10">
        <v>2.6565028482745099E-3</v>
      </c>
      <c r="N39" s="10">
        <v>0.248699237211192</v>
      </c>
    </row>
    <row r="40" spans="1:14" x14ac:dyDescent="0.35">
      <c r="B40" t="s">
        <v>23</v>
      </c>
      <c r="C40" s="10">
        <v>-2.67590227153661E-2</v>
      </c>
      <c r="D40" s="10">
        <v>-4.2023895208149503E-2</v>
      </c>
      <c r="E40" s="10">
        <f t="shared" si="0"/>
        <v>1.5264872492783403E-2</v>
      </c>
      <c r="F40" s="10">
        <v>0.122008597986067</v>
      </c>
      <c r="G40" s="10">
        <v>3.2648308449791498E-3</v>
      </c>
      <c r="H40" s="10">
        <v>-0.113042207242955</v>
      </c>
      <c r="J40" t="s">
        <v>41</v>
      </c>
      <c r="K40" s="10">
        <v>-4.0168947768313198E-3</v>
      </c>
      <c r="L40" s="10">
        <v>0.69303852233222396</v>
      </c>
      <c r="M40" s="10">
        <v>2.7838628204992001E-3</v>
      </c>
      <c r="N40" s="10">
        <v>0.2348601409022</v>
      </c>
    </row>
    <row r="41" spans="1:14" x14ac:dyDescent="0.35">
      <c r="B41" t="s">
        <v>24</v>
      </c>
      <c r="C41" s="10">
        <v>-3.1906165790722002E-2</v>
      </c>
      <c r="D41" s="10">
        <v>-1.8746580942409E-2</v>
      </c>
      <c r="E41" s="10">
        <f t="shared" si="0"/>
        <v>-1.3159584848313002E-2</v>
      </c>
      <c r="F41" s="10">
        <v>0.30956363369930301</v>
      </c>
      <c r="G41" s="10">
        <v>9.8769886195882901E-3</v>
      </c>
      <c r="H41" s="10">
        <v>3.2304906890559599</v>
      </c>
    </row>
    <row r="43" spans="1:14" x14ac:dyDescent="0.35">
      <c r="B43" t="s">
        <v>25</v>
      </c>
      <c r="C43" t="s">
        <v>3</v>
      </c>
      <c r="D43" t="s">
        <v>8</v>
      </c>
      <c r="E43" t="s">
        <v>4</v>
      </c>
      <c r="F43" t="s">
        <v>111</v>
      </c>
      <c r="G43" t="s">
        <v>113</v>
      </c>
      <c r="H43" t="s">
        <v>112</v>
      </c>
    </row>
    <row r="44" spans="1:14" x14ac:dyDescent="0.35">
      <c r="A44" t="s">
        <v>27</v>
      </c>
      <c r="D44" s="10"/>
      <c r="E44" s="10"/>
      <c r="F44" s="10"/>
      <c r="G44" s="10">
        <v>1.5920463281276099E-2</v>
      </c>
      <c r="H44" s="10">
        <v>7.9856945459025299</v>
      </c>
    </row>
    <row r="45" spans="1:14" x14ac:dyDescent="0.35">
      <c r="B45" t="s">
        <v>80</v>
      </c>
      <c r="C45" s="3">
        <v>0.01</v>
      </c>
      <c r="H45">
        <v>2</v>
      </c>
    </row>
    <row r="46" spans="1:14" x14ac:dyDescent="0.35">
      <c r="B46" t="s">
        <v>60</v>
      </c>
      <c r="C46" s="10"/>
      <c r="D46" s="10"/>
      <c r="E46" s="10"/>
      <c r="F46" s="10"/>
      <c r="G46" s="10">
        <v>9.7578451734742395E-3</v>
      </c>
      <c r="H46" s="10">
        <v>3.3112660429688501</v>
      </c>
    </row>
    <row r="47" spans="1:14" x14ac:dyDescent="0.35">
      <c r="B47" t="s">
        <v>28</v>
      </c>
      <c r="C47" s="10">
        <v>7.8201102313974896E-3</v>
      </c>
      <c r="D47" s="10">
        <v>4.8961097620779303E-3</v>
      </c>
      <c r="E47" s="10">
        <f>C47-D47</f>
        <v>2.9240004693195593E-3</v>
      </c>
      <c r="F47" s="10">
        <v>0.98944888289092303</v>
      </c>
      <c r="G47" s="10">
        <v>7.7375993325401304E-3</v>
      </c>
      <c r="H47" s="10">
        <v>1.87131902353075</v>
      </c>
    </row>
    <row r="48" spans="1:14" x14ac:dyDescent="0.35">
      <c r="B48" t="s">
        <v>29</v>
      </c>
      <c r="C48" s="10">
        <v>-1.21840307620122E-2</v>
      </c>
      <c r="D48" s="10">
        <v>-9.5800673134801197E-3</v>
      </c>
      <c r="E48" s="10">
        <f t="shared" ref="E48:E95" si="1">C48-D48</f>
        <v>-2.6039634485320803E-3</v>
      </c>
      <c r="F48" s="10">
        <v>0.64235379555691996</v>
      </c>
      <c r="G48" s="10">
        <v>7.82645840516079E-3</v>
      </c>
      <c r="H48" s="10">
        <v>0.699301482567802</v>
      </c>
    </row>
    <row r="49" spans="2:8" x14ac:dyDescent="0.35">
      <c r="B49" t="s">
        <v>30</v>
      </c>
      <c r="C49" s="10">
        <v>2.5506545882688601E-3</v>
      </c>
      <c r="D49" s="10">
        <v>4.0245686935981599E-3</v>
      </c>
      <c r="E49" s="10">
        <f t="shared" si="1"/>
        <v>-1.4739141053292997E-3</v>
      </c>
      <c r="F49" s="10">
        <v>0.93239069080664205</v>
      </c>
      <c r="G49" s="10">
        <v>2.3782065935651401E-3</v>
      </c>
      <c r="H49" s="10">
        <v>0.49419724095105699</v>
      </c>
    </row>
    <row r="50" spans="2:8" x14ac:dyDescent="0.35">
      <c r="B50" t="s">
        <v>31</v>
      </c>
      <c r="C50" s="10">
        <v>-3.9621270268284103E-3</v>
      </c>
      <c r="D50" s="10">
        <v>-5.9418109621904702E-3</v>
      </c>
      <c r="E50" s="10">
        <f t="shared" si="1"/>
        <v>1.9796839353620598E-3</v>
      </c>
      <c r="F50" s="10">
        <v>0.67047392228637803</v>
      </c>
      <c r="G50" s="10">
        <v>2.6565028482745099E-3</v>
      </c>
      <c r="H50" s="10">
        <v>0.248699237211192</v>
      </c>
    </row>
    <row r="51" spans="2:8" x14ac:dyDescent="0.35">
      <c r="B51" t="s">
        <v>32</v>
      </c>
      <c r="C51" s="10">
        <v>2.1982442063067699E-4</v>
      </c>
      <c r="D51" s="10">
        <v>9.4934482232778602E-4</v>
      </c>
      <c r="E51" s="10">
        <f t="shared" si="1"/>
        <v>-7.2952040169710906E-4</v>
      </c>
      <c r="F51" s="10">
        <v>1.14733423710406</v>
      </c>
      <c r="G51" s="10">
        <v>2.5221208394114102E-4</v>
      </c>
      <c r="H51" s="10">
        <v>6.4158955184074502E-3</v>
      </c>
    </row>
    <row r="52" spans="2:8" x14ac:dyDescent="0.35">
      <c r="B52" t="s">
        <v>61</v>
      </c>
      <c r="C52" s="10"/>
      <c r="D52" s="10"/>
      <c r="E52" s="10">
        <f t="shared" si="1"/>
        <v>0</v>
      </c>
      <c r="F52" s="10"/>
      <c r="G52" s="10">
        <v>8.2488209573286595E-3</v>
      </c>
      <c r="H52" s="10">
        <v>2.2941735722335999</v>
      </c>
    </row>
    <row r="53" spans="2:8" x14ac:dyDescent="0.35">
      <c r="B53" t="s">
        <v>33</v>
      </c>
      <c r="C53" s="10">
        <v>-6.8888287082576102E-3</v>
      </c>
      <c r="D53" s="10">
        <v>-6.0471613189493198E-3</v>
      </c>
      <c r="E53" s="10">
        <f t="shared" si="1"/>
        <v>-8.416673893082904E-4</v>
      </c>
      <c r="F53" s="10">
        <v>0.79602390540710799</v>
      </c>
      <c r="G53" s="10">
        <v>5.4836723320278204E-3</v>
      </c>
      <c r="H53" s="10">
        <v>1.6713488283829201</v>
      </c>
    </row>
    <row r="54" spans="2:8" x14ac:dyDescent="0.35">
      <c r="B54" t="s">
        <v>34</v>
      </c>
      <c r="C54" s="10">
        <v>1.77941820276181E-3</v>
      </c>
      <c r="D54" s="10">
        <v>2.3358549310340702E-3</v>
      </c>
      <c r="E54" s="10">
        <f t="shared" si="1"/>
        <v>-5.564367282722602E-4</v>
      </c>
      <c r="F54" s="10">
        <v>1.22170900939345</v>
      </c>
      <c r="G54" s="10">
        <v>2.1739312497928002E-3</v>
      </c>
      <c r="H54" s="10">
        <v>0.30896427029644302</v>
      </c>
    </row>
    <row r="55" spans="2:8" x14ac:dyDescent="0.35">
      <c r="B55" t="s">
        <v>35</v>
      </c>
      <c r="C55" s="10">
        <v>5.0848257958442597E-3</v>
      </c>
      <c r="D55" s="10">
        <v>5.1760375849949497E-3</v>
      </c>
      <c r="E55" s="10">
        <f t="shared" si="1"/>
        <v>-9.1211789150690004E-5</v>
      </c>
      <c r="F55" s="10">
        <v>0.75366479831780597</v>
      </c>
      <c r="G55" s="10">
        <v>3.83225420790614E-3</v>
      </c>
      <c r="H55" s="10">
        <v>0.14499537430265699</v>
      </c>
    </row>
    <row r="56" spans="2:8" x14ac:dyDescent="0.35">
      <c r="B56" t="s">
        <v>36</v>
      </c>
      <c r="C56" s="10">
        <v>-2.1340476146010298E-3</v>
      </c>
      <c r="D56" s="10">
        <v>-1.15677491527348E-3</v>
      </c>
      <c r="E56" s="10">
        <f t="shared" si="1"/>
        <v>-9.7727269932754981E-4</v>
      </c>
      <c r="F56" s="10">
        <v>0.83538129609558098</v>
      </c>
      <c r="G56" s="10">
        <v>1.78274346221509E-3</v>
      </c>
      <c r="H56" s="10">
        <v>0.113216807601067</v>
      </c>
    </row>
    <row r="57" spans="2:8" x14ac:dyDescent="0.35">
      <c r="B57" t="s">
        <v>37</v>
      </c>
      <c r="C57" s="10">
        <v>-9.4994982060184598E-4</v>
      </c>
      <c r="D57" s="10">
        <v>-3.79415429218158E-4</v>
      </c>
      <c r="E57" s="10">
        <f t="shared" si="1"/>
        <v>-5.7053439138368797E-4</v>
      </c>
      <c r="F57" s="10">
        <v>0.36417909646080898</v>
      </c>
      <c r="G57" s="10">
        <v>3.4595186734988798E-4</v>
      </c>
      <c r="H57" s="10">
        <v>4.29215107429902E-2</v>
      </c>
    </row>
    <row r="58" spans="2:8" x14ac:dyDescent="0.35">
      <c r="B58" t="s">
        <v>62</v>
      </c>
      <c r="C58" s="10"/>
      <c r="D58" s="10"/>
      <c r="E58" s="10">
        <f t="shared" si="1"/>
        <v>0</v>
      </c>
      <c r="F58" s="10"/>
      <c r="G58" s="10">
        <v>7.6148821039066002E-3</v>
      </c>
      <c r="H58" s="10">
        <v>1.71171947688097</v>
      </c>
    </row>
    <row r="59" spans="2:8" x14ac:dyDescent="0.35">
      <c r="B59" t="s">
        <v>38</v>
      </c>
      <c r="C59" s="10">
        <v>6.8920238399170497E-3</v>
      </c>
      <c r="D59" s="10">
        <v>6.7517797956905797E-3</v>
      </c>
      <c r="E59" s="10">
        <f t="shared" si="1"/>
        <v>1.4024404422647001E-4</v>
      </c>
      <c r="F59" s="10">
        <v>0.53846541798944203</v>
      </c>
      <c r="G59" s="10">
        <v>3.71111649775413E-3</v>
      </c>
      <c r="H59" s="10">
        <v>0.916110847881621</v>
      </c>
    </row>
    <row r="60" spans="2:8" x14ac:dyDescent="0.35">
      <c r="B60" t="s">
        <v>39</v>
      </c>
      <c r="C60" s="10">
        <v>1.90583132560172E-3</v>
      </c>
      <c r="D60" s="10">
        <v>2.3762439152474799E-3</v>
      </c>
      <c r="E60" s="10">
        <f t="shared" si="1"/>
        <v>-4.7041258964575987E-4</v>
      </c>
      <c r="F60" s="10">
        <v>1.1521117413256501</v>
      </c>
      <c r="G60" s="10">
        <v>2.1957306472119701E-3</v>
      </c>
      <c r="H60" s="10">
        <v>0.57031060318062399</v>
      </c>
    </row>
    <row r="61" spans="2:8" x14ac:dyDescent="0.35">
      <c r="B61" t="s">
        <v>40</v>
      </c>
      <c r="C61" s="10">
        <v>5.7605466685553804E-3</v>
      </c>
      <c r="D61" s="10">
        <v>3.56002140915478E-3</v>
      </c>
      <c r="E61" s="10">
        <f t="shared" si="1"/>
        <v>2.2005252594006004E-3</v>
      </c>
      <c r="F61" s="10">
        <v>0.65983702486130802</v>
      </c>
      <c r="G61" s="10">
        <v>3.8010219753542998E-3</v>
      </c>
      <c r="H61" s="10">
        <v>0.31711991786268201</v>
      </c>
    </row>
    <row r="62" spans="2:8" x14ac:dyDescent="0.35">
      <c r="B62" t="s">
        <v>63</v>
      </c>
      <c r="C62" s="10"/>
      <c r="D62" s="10"/>
      <c r="E62" s="10">
        <f t="shared" si="1"/>
        <v>0</v>
      </c>
      <c r="F62" s="10"/>
      <c r="G62" s="10">
        <v>3.5809128959962502E-3</v>
      </c>
      <c r="H62" s="10">
        <v>0.476798101885331</v>
      </c>
    </row>
    <row r="63" spans="2:8" x14ac:dyDescent="0.35">
      <c r="B63" t="s">
        <v>41</v>
      </c>
      <c r="C63" s="10">
        <v>-4.0168947768313198E-3</v>
      </c>
      <c r="D63" s="10">
        <v>-7.4934342989694102E-3</v>
      </c>
      <c r="E63" s="10">
        <f t="shared" si="1"/>
        <v>3.4765395221380904E-3</v>
      </c>
      <c r="F63" s="10">
        <v>0.69303852233222396</v>
      </c>
      <c r="G63" s="10">
        <v>2.7838628204992001E-3</v>
      </c>
      <c r="H63" s="10">
        <v>0.2348601409022</v>
      </c>
    </row>
    <row r="64" spans="2:8" x14ac:dyDescent="0.35">
      <c r="B64" t="s">
        <v>42</v>
      </c>
      <c r="C64" s="10">
        <v>3.7652236839486601E-3</v>
      </c>
      <c r="D64" s="10">
        <v>2.40799013929314E-3</v>
      </c>
      <c r="E64" s="10">
        <f t="shared" si="1"/>
        <v>1.3572335446555201E-3</v>
      </c>
      <c r="F64" s="10">
        <v>0.57995493701464995</v>
      </c>
      <c r="G64" s="10">
        <v>2.1836600644705101E-3</v>
      </c>
      <c r="H64" s="10">
        <v>0.18906767053132301</v>
      </c>
    </row>
    <row r="65" spans="2:8" x14ac:dyDescent="0.35">
      <c r="B65" t="s">
        <v>43</v>
      </c>
      <c r="C65" s="10">
        <v>1.1710171727601899E-3</v>
      </c>
      <c r="D65" s="10">
        <v>1.1385967469936501E-3</v>
      </c>
      <c r="E65" s="10">
        <f t="shared" si="1"/>
        <v>3.2420425766539881E-5</v>
      </c>
      <c r="F65" s="10">
        <v>0.93528947892998604</v>
      </c>
      <c r="G65" s="10">
        <v>1.09524004132895E-3</v>
      </c>
      <c r="H65" s="10">
        <v>0.15992364557087599</v>
      </c>
    </row>
    <row r="66" spans="2:8" x14ac:dyDescent="0.35">
      <c r="B66" t="s">
        <v>44</v>
      </c>
      <c r="C66" s="10">
        <v>1.0354829506829099E-3</v>
      </c>
      <c r="D66" s="10">
        <v>1.7793510311471001E-3</v>
      </c>
      <c r="E66" s="10">
        <f t="shared" si="1"/>
        <v>-7.4386808046419018E-4</v>
      </c>
      <c r="F66" s="10">
        <v>0.65223030428759199</v>
      </c>
      <c r="G66" s="10">
        <v>6.7537336000852901E-4</v>
      </c>
      <c r="H66" s="10">
        <v>-1.77847637727701E-2</v>
      </c>
    </row>
    <row r="67" spans="2:8" x14ac:dyDescent="0.35">
      <c r="B67" t="s">
        <v>45</v>
      </c>
      <c r="C67" s="10">
        <v>1.82262883488126E-3</v>
      </c>
      <c r="D67" s="10">
        <v>2.1429123986686999E-3</v>
      </c>
      <c r="E67" s="10">
        <f t="shared" si="1"/>
        <v>-3.2028356378743989E-4</v>
      </c>
      <c r="F67" s="10">
        <v>0.66136936029896598</v>
      </c>
      <c r="G67" s="10">
        <v>1.20543086658787E-3</v>
      </c>
      <c r="H67" s="10">
        <v>-7.7396009502640598E-2</v>
      </c>
    </row>
    <row r="68" spans="2:8" x14ac:dyDescent="0.35">
      <c r="B68" t="s">
        <v>64</v>
      </c>
      <c r="C68" s="10"/>
      <c r="D68" s="10"/>
      <c r="E68" s="10">
        <f t="shared" si="1"/>
        <v>0</v>
      </c>
      <c r="F68" s="10"/>
      <c r="G68" s="10">
        <v>1.24149171265092E-3</v>
      </c>
      <c r="H68" s="10">
        <v>0.23873464876921899</v>
      </c>
    </row>
    <row r="69" spans="2:8" x14ac:dyDescent="0.35">
      <c r="B69" t="s">
        <v>46</v>
      </c>
      <c r="C69" s="10">
        <v>-1.84213713495888E-3</v>
      </c>
      <c r="D69" s="10">
        <v>-9.9207067534816396E-4</v>
      </c>
      <c r="E69" s="10">
        <f t="shared" si="1"/>
        <v>-8.5006645961071604E-4</v>
      </c>
      <c r="F69" s="10">
        <v>0.49220646715705202</v>
      </c>
      <c r="G69" s="10">
        <v>9.0671181121692495E-4</v>
      </c>
      <c r="H69" s="10">
        <v>0.18631402317472401</v>
      </c>
    </row>
    <row r="70" spans="2:8" x14ac:dyDescent="0.35">
      <c r="B70" t="s">
        <v>47</v>
      </c>
      <c r="C70" s="10">
        <v>-9.4633030717092303E-4</v>
      </c>
      <c r="D70" s="10">
        <v>-1.67819523390481E-3</v>
      </c>
      <c r="E70" s="10">
        <f t="shared" si="1"/>
        <v>7.3186492673388693E-4</v>
      </c>
      <c r="F70" s="10">
        <v>0.52764036525756197</v>
      </c>
      <c r="G70" s="10">
        <v>4.9932206892996597E-4</v>
      </c>
      <c r="H70" s="10">
        <v>4.9890181105481601E-2</v>
      </c>
    </row>
    <row r="71" spans="2:8" x14ac:dyDescent="0.35">
      <c r="B71" t="s">
        <v>48</v>
      </c>
      <c r="C71" s="10">
        <v>3.7932526893324201E-4</v>
      </c>
      <c r="D71" s="10">
        <v>1.15930776395544E-3</v>
      </c>
      <c r="E71" s="10">
        <f t="shared" si="1"/>
        <v>-7.7998249502219796E-4</v>
      </c>
      <c r="F71" s="10">
        <v>0.67602413421216501</v>
      </c>
      <c r="G71" s="10">
        <v>2.5643303651539198E-4</v>
      </c>
      <c r="H71" s="10">
        <v>5.1168841010657896E-4</v>
      </c>
    </row>
    <row r="72" spans="2:8" x14ac:dyDescent="0.35">
      <c r="B72" t="s">
        <v>65</v>
      </c>
      <c r="C72" s="10"/>
      <c r="D72" s="10"/>
      <c r="E72" s="10">
        <f t="shared" si="1"/>
        <v>0</v>
      </c>
      <c r="F72" s="10"/>
      <c r="G72" s="10">
        <v>1.21947294364976E-3</v>
      </c>
      <c r="H72" s="10">
        <v>0.21247766407122001</v>
      </c>
    </row>
    <row r="73" spans="2:8" x14ac:dyDescent="0.35">
      <c r="B73" t="s">
        <v>49</v>
      </c>
      <c r="C73" s="10">
        <v>-1.78318072077506E-3</v>
      </c>
      <c r="D73" s="10">
        <v>-7.6576661819837202E-4</v>
      </c>
      <c r="E73" s="10">
        <f t="shared" si="1"/>
        <v>-1.0174141025766879E-3</v>
      </c>
      <c r="F73" s="10">
        <v>0.71746013836336597</v>
      </c>
      <c r="G73" s="10">
        <v>1.2793610866541601E-3</v>
      </c>
      <c r="H73" s="10">
        <v>0.16674088070169801</v>
      </c>
    </row>
    <row r="74" spans="2:8" x14ac:dyDescent="0.35">
      <c r="B74" t="s">
        <v>50</v>
      </c>
      <c r="C74" s="10">
        <v>7.5105978799293001E-4</v>
      </c>
      <c r="D74" s="10">
        <v>3.7285405336666899E-4</v>
      </c>
      <c r="E74" s="10">
        <f t="shared" si="1"/>
        <v>3.7820573462626103E-4</v>
      </c>
      <c r="F74" s="10">
        <v>0.53332389609610098</v>
      </c>
      <c r="G74" s="10">
        <v>4.0055813233350101E-4</v>
      </c>
      <c r="H74" s="10">
        <v>6.1496153877373602E-2</v>
      </c>
    </row>
    <row r="75" spans="2:8" x14ac:dyDescent="0.35">
      <c r="B75" t="s">
        <v>51</v>
      </c>
      <c r="C75" s="10">
        <v>4.04821592410069E-4</v>
      </c>
      <c r="D75" s="10">
        <v>9.3989765893692995E-4</v>
      </c>
      <c r="E75" s="10">
        <f t="shared" si="1"/>
        <v>-5.3507606652686095E-4</v>
      </c>
      <c r="F75" s="10">
        <v>0.63623534030176399</v>
      </c>
      <c r="G75" s="10">
        <v>2.5756180360852202E-4</v>
      </c>
      <c r="H75" s="10">
        <v>-3.0349504939703601E-3</v>
      </c>
    </row>
    <row r="76" spans="2:8" x14ac:dyDescent="0.35">
      <c r="B76" t="s">
        <v>52</v>
      </c>
      <c r="C76" s="10">
        <v>-6.6048161276991704E-4</v>
      </c>
      <c r="D76" s="10">
        <v>-1.21056688625177E-3</v>
      </c>
      <c r="E76" s="10">
        <f t="shared" si="1"/>
        <v>5.5008527348185301E-4</v>
      </c>
      <c r="F76" s="10">
        <v>0.60145109557009901</v>
      </c>
      <c r="G76" s="10">
        <v>3.9724738960437203E-4</v>
      </c>
      <c r="H76" s="10">
        <v>-1.1985194513034101E-2</v>
      </c>
    </row>
    <row r="77" spans="2:8" x14ac:dyDescent="0.35">
      <c r="B77" t="s">
        <v>66</v>
      </c>
      <c r="C77" s="10"/>
      <c r="D77" s="10"/>
      <c r="E77" s="10">
        <f t="shared" si="1"/>
        <v>0</v>
      </c>
      <c r="F77" s="10"/>
      <c r="G77" s="10">
        <v>5.9454157250056101E-3</v>
      </c>
      <c r="H77" s="10">
        <v>8.7563161755032801E-2</v>
      </c>
    </row>
    <row r="78" spans="2:8" x14ac:dyDescent="0.35">
      <c r="B78" t="s">
        <v>53</v>
      </c>
      <c r="C78" s="10">
        <v>-1.6918993995813599E-3</v>
      </c>
      <c r="D78" s="10">
        <v>-3.1280865434883801E-3</v>
      </c>
      <c r="E78" s="10">
        <f t="shared" si="1"/>
        <v>1.4361871439070202E-3</v>
      </c>
      <c r="F78" s="10">
        <v>0.65952449116410095</v>
      </c>
      <c r="G78" s="10">
        <v>1.1158490906097399E-3</v>
      </c>
      <c r="H78" s="10">
        <v>0.14334089878164699</v>
      </c>
    </row>
    <row r="79" spans="2:8" x14ac:dyDescent="0.35">
      <c r="B79" t="s">
        <v>54</v>
      </c>
      <c r="C79" s="10">
        <v>-4.2233280777692096E-3</v>
      </c>
      <c r="D79" s="10">
        <v>-2.6816064733621399E-3</v>
      </c>
      <c r="E79" s="10">
        <f t="shared" si="1"/>
        <v>-1.5417216044070698E-3</v>
      </c>
      <c r="F79" s="10">
        <v>0.97064006147716597</v>
      </c>
      <c r="G79" s="10">
        <v>4.0993314250441504E-3</v>
      </c>
      <c r="H79" s="10">
        <v>3.5548640939074901E-2</v>
      </c>
    </row>
    <row r="80" spans="2:8" x14ac:dyDescent="0.35">
      <c r="B80" t="s">
        <v>55</v>
      </c>
      <c r="C80" s="10">
        <v>-1.0340851925855999E-3</v>
      </c>
      <c r="D80" s="10">
        <v>-1.0600678666242199E-3</v>
      </c>
      <c r="E80" s="10">
        <f t="shared" si="1"/>
        <v>2.5982674038619973E-5</v>
      </c>
      <c r="F80" s="10">
        <v>1.23836750488231</v>
      </c>
      <c r="G80" s="10">
        <v>1.28057749977798E-3</v>
      </c>
      <c r="H80" s="10">
        <v>1.6809769516546199E-3</v>
      </c>
    </row>
    <row r="81" spans="2:8" x14ac:dyDescent="0.35">
      <c r="B81" t="s">
        <v>56</v>
      </c>
      <c r="C81" s="10">
        <v>2.4916742309793799E-4</v>
      </c>
      <c r="D81" s="10">
        <v>6.5720786912832002E-4</v>
      </c>
      <c r="E81" s="10">
        <f t="shared" si="1"/>
        <v>-4.0804044603038204E-4</v>
      </c>
      <c r="F81" s="10">
        <v>0.98343083348179905</v>
      </c>
      <c r="G81" s="10">
        <v>2.4503892657371797E-4</v>
      </c>
      <c r="H81" s="10">
        <v>4.7473497687260699E-4</v>
      </c>
    </row>
    <row r="82" spans="2:8" x14ac:dyDescent="0.35">
      <c r="B82" t="s">
        <v>57</v>
      </c>
      <c r="C82" s="10">
        <v>-3.0100496603928401E-3</v>
      </c>
      <c r="D82" s="10">
        <v>-2.1434028030958901E-3</v>
      </c>
      <c r="E82" s="10">
        <f t="shared" si="1"/>
        <v>-8.6664685729695001E-4</v>
      </c>
      <c r="F82" s="10">
        <v>0.54173283600737798</v>
      </c>
      <c r="G82" s="10">
        <v>1.6306427390476599E-3</v>
      </c>
      <c r="H82" s="10">
        <v>-9.0150546329212405E-2</v>
      </c>
    </row>
    <row r="83" spans="2:8" x14ac:dyDescent="0.35">
      <c r="B83" t="s">
        <v>67</v>
      </c>
      <c r="C83" s="10"/>
      <c r="D83" s="10"/>
      <c r="E83" s="10">
        <f t="shared" si="1"/>
        <v>0</v>
      </c>
      <c r="F83" s="10"/>
      <c r="G83" s="10">
        <v>7.9286059029211396E-4</v>
      </c>
      <c r="H83" s="10">
        <v>4.7581417888504299E-2</v>
      </c>
    </row>
    <row r="84" spans="2:8" x14ac:dyDescent="0.35">
      <c r="B84" t="s">
        <v>58</v>
      </c>
      <c r="C84" s="10">
        <v>-1.5490374181140499E-4</v>
      </c>
      <c r="D84" s="10">
        <v>-2.0379202583450099E-4</v>
      </c>
      <c r="E84" s="10">
        <f t="shared" si="1"/>
        <v>4.8888284023096E-5</v>
      </c>
      <c r="F84" s="10">
        <v>0.76086691151031804</v>
      </c>
      <c r="G84" s="10">
        <v>1.17861131613436E-4</v>
      </c>
      <c r="H84" s="10">
        <v>1.0166683169391001E-2</v>
      </c>
    </row>
    <row r="85" spans="2:8" x14ac:dyDescent="0.35">
      <c r="B85" t="s">
        <v>68</v>
      </c>
      <c r="C85" s="10"/>
      <c r="D85" s="10"/>
      <c r="E85" s="10">
        <f t="shared" si="1"/>
        <v>0</v>
      </c>
      <c r="F85" s="10"/>
      <c r="G85" s="10">
        <v>1.0346613967359001E-3</v>
      </c>
      <c r="H85" s="10">
        <v>4.3642312219412997E-2</v>
      </c>
    </row>
    <row r="86" spans="2:8" x14ac:dyDescent="0.35">
      <c r="B86" t="s">
        <v>59</v>
      </c>
      <c r="C86" s="10">
        <v>1.7895278097122E-3</v>
      </c>
      <c r="D86" s="10">
        <v>4.6142003122853401E-4</v>
      </c>
      <c r="E86" s="10">
        <f t="shared" si="1"/>
        <v>1.328107778483666E-3</v>
      </c>
      <c r="F86" s="10">
        <v>0.57817564562033597</v>
      </c>
      <c r="G86" s="10">
        <v>1.0346613967359001E-3</v>
      </c>
      <c r="H86" s="10">
        <v>4.3642312219412997E-2</v>
      </c>
    </row>
    <row r="87" spans="2:8" x14ac:dyDescent="0.35">
      <c r="B87" t="s">
        <v>69</v>
      </c>
      <c r="C87" s="10"/>
      <c r="D87" s="10"/>
      <c r="E87" s="10">
        <f t="shared" si="1"/>
        <v>0</v>
      </c>
      <c r="F87" s="10"/>
      <c r="G87" s="10">
        <v>2.8427578821172998E-3</v>
      </c>
      <c r="H87" s="10">
        <v>-0.13371456361643799</v>
      </c>
    </row>
    <row r="88" spans="2:8" x14ac:dyDescent="0.35">
      <c r="B88" t="s">
        <v>70</v>
      </c>
      <c r="C88" s="10">
        <v>1.5623402326277601E-3</v>
      </c>
      <c r="D88" s="10">
        <v>2.98421657411036E-3</v>
      </c>
      <c r="E88" s="10">
        <f t="shared" si="1"/>
        <v>-1.4218763414825999E-3</v>
      </c>
      <c r="F88" s="10">
        <v>0.61123778434357801</v>
      </c>
      <c r="G88" s="10">
        <v>9.5496138218222396E-4</v>
      </c>
      <c r="H88" s="10">
        <v>0.140988936419085</v>
      </c>
    </row>
    <row r="89" spans="2:8" x14ac:dyDescent="0.35">
      <c r="B89" t="s">
        <v>71</v>
      </c>
      <c r="C89" s="10">
        <v>3.92759786417036E-3</v>
      </c>
      <c r="D89" s="10">
        <v>3.65747147008953E-3</v>
      </c>
      <c r="E89" s="10">
        <f t="shared" si="1"/>
        <v>2.7012639408082991E-4</v>
      </c>
      <c r="F89" s="10">
        <v>0.44153167833016799</v>
      </c>
      <c r="G89" s="10">
        <v>1.73415887677312E-3</v>
      </c>
      <c r="H89" s="10">
        <v>9.7249635771053097E-2</v>
      </c>
    </row>
    <row r="90" spans="2:8" x14ac:dyDescent="0.35">
      <c r="B90" t="s">
        <v>72</v>
      </c>
      <c r="C90" s="10">
        <v>5.9598803972083999E-4</v>
      </c>
      <c r="D90" s="10">
        <v>6.4571655663812704E-4</v>
      </c>
      <c r="E90" s="10">
        <f t="shared" si="1"/>
        <v>-4.9728516917287046E-5</v>
      </c>
      <c r="F90" s="10">
        <v>1.5870102885489099</v>
      </c>
      <c r="G90" s="10">
        <v>9.4583915088906803E-4</v>
      </c>
      <c r="H90" s="10">
        <v>4.4067127808483701E-2</v>
      </c>
    </row>
    <row r="91" spans="2:8" x14ac:dyDescent="0.35">
      <c r="B91" t="s">
        <v>73</v>
      </c>
      <c r="C91" s="10">
        <v>-2.1596933358774099E-3</v>
      </c>
      <c r="D91" s="10">
        <v>-4.0863698075025698E-4</v>
      </c>
      <c r="E91" s="10">
        <f t="shared" si="1"/>
        <v>-1.7510563551271529E-3</v>
      </c>
      <c r="F91" s="10">
        <v>0.74950758345764801</v>
      </c>
      <c r="G91" s="10">
        <v>1.6187065331830599E-3</v>
      </c>
      <c r="H91" s="10">
        <v>-0.21437267789252101</v>
      </c>
    </row>
    <row r="92" spans="2:8" x14ac:dyDescent="0.35">
      <c r="B92" t="s">
        <v>74</v>
      </c>
      <c r="C92" s="10">
        <v>-4.7458001561035404E-3</v>
      </c>
      <c r="D92" s="10">
        <v>-9.4945865716968506E-3</v>
      </c>
      <c r="E92" s="10">
        <f t="shared" si="1"/>
        <v>4.7487864155933103E-3</v>
      </c>
      <c r="F92" s="10">
        <v>0.53562642069464605</v>
      </c>
      <c r="G92" s="10">
        <v>2.54197595094583E-3</v>
      </c>
      <c r="H92" s="10">
        <v>-0.21925373801758499</v>
      </c>
    </row>
    <row r="93" spans="2:8" x14ac:dyDescent="0.35">
      <c r="B93" t="s">
        <v>75</v>
      </c>
      <c r="C93" s="10"/>
      <c r="D93" s="10"/>
      <c r="E93" s="10">
        <f t="shared" si="1"/>
        <v>0</v>
      </c>
      <c r="F93" s="10"/>
      <c r="G93" s="10">
        <v>2.9725503091762402E-3</v>
      </c>
      <c r="H93" s="10">
        <v>-0.30454728915317503</v>
      </c>
    </row>
    <row r="94" spans="2:8" x14ac:dyDescent="0.35">
      <c r="B94" t="s">
        <v>76</v>
      </c>
      <c r="C94" s="10">
        <v>2.6445755200132302E-4</v>
      </c>
      <c r="D94" s="10">
        <v>2.1238992665958902E-3</v>
      </c>
      <c r="E94" s="10">
        <f t="shared" si="1"/>
        <v>-1.8594417145945672E-3</v>
      </c>
      <c r="F94" s="10">
        <v>1.0635011668376</v>
      </c>
      <c r="G94" s="10">
        <v>2.8125091513242099E-4</v>
      </c>
      <c r="H94" s="10">
        <v>3.5536899710733698E-2</v>
      </c>
    </row>
    <row r="95" spans="2:8" x14ac:dyDescent="0.35">
      <c r="B95" t="s">
        <v>77</v>
      </c>
      <c r="C95" s="10">
        <v>-2.34427632841731E-3</v>
      </c>
      <c r="D95" s="10">
        <v>-1.64234677742347E-3</v>
      </c>
      <c r="E95" s="10">
        <f t="shared" si="1"/>
        <v>-7.0192955099383997E-4</v>
      </c>
      <c r="F95" s="10">
        <v>1.38450385499351</v>
      </c>
      <c r="G95" s="10">
        <v>3.2456596138637898E-3</v>
      </c>
      <c r="H95" s="10">
        <v>-0.34559503853906098</v>
      </c>
    </row>
    <row r="97" spans="1:5" x14ac:dyDescent="0.35">
      <c r="A97" s="1" t="s">
        <v>114</v>
      </c>
      <c r="B97" t="s">
        <v>96</v>
      </c>
      <c r="C97" t="s">
        <v>97</v>
      </c>
      <c r="D97" t="s">
        <v>113</v>
      </c>
      <c r="E97" t="s">
        <v>115</v>
      </c>
    </row>
    <row r="98" spans="1:5" x14ac:dyDescent="0.35">
      <c r="B98" t="s">
        <v>81</v>
      </c>
      <c r="C98" s="10">
        <v>-0.17204754075258</v>
      </c>
      <c r="D98" s="10">
        <v>6.7900500074014004E-3</v>
      </c>
      <c r="E98" s="10">
        <v>2.4283828404266998</v>
      </c>
    </row>
    <row r="99" spans="1:5" x14ac:dyDescent="0.35">
      <c r="B99" t="s">
        <v>82</v>
      </c>
      <c r="C99" s="10">
        <v>-0.14141892022671801</v>
      </c>
      <c r="D99" s="10">
        <v>8.0996166431328304E-3</v>
      </c>
      <c r="E99" s="10">
        <v>1.7788467473895799</v>
      </c>
    </row>
    <row r="100" spans="1:5" x14ac:dyDescent="0.35">
      <c r="B100" t="s">
        <v>83</v>
      </c>
      <c r="C100" s="10">
        <v>-0.137808109450623</v>
      </c>
      <c r="D100" s="10">
        <v>6.18022329202258E-3</v>
      </c>
      <c r="E100" s="10">
        <v>1.60178611511099</v>
      </c>
    </row>
    <row r="101" spans="1:5" x14ac:dyDescent="0.35">
      <c r="B101" t="s">
        <v>84</v>
      </c>
      <c r="C101" s="10">
        <v>-0.13417819445475901</v>
      </c>
      <c r="D101" s="10">
        <v>4.5021292928624198E-3</v>
      </c>
      <c r="E101" s="10">
        <v>1.23800409770991</v>
      </c>
    </row>
    <row r="102" spans="1:5" x14ac:dyDescent="0.35">
      <c r="B102" t="s">
        <v>85</v>
      </c>
      <c r="C102" s="10">
        <v>-0.100665679381121</v>
      </c>
      <c r="D102" s="10">
        <v>5.1688947855771704E-3</v>
      </c>
      <c r="E102" s="10">
        <v>1.2356837706350701</v>
      </c>
    </row>
    <row r="103" spans="1:5" x14ac:dyDescent="0.35">
      <c r="B103" t="s">
        <v>86</v>
      </c>
      <c r="C103" s="10">
        <v>-0.13489721387257</v>
      </c>
      <c r="D103" s="10">
        <v>5.3632194248484999E-3</v>
      </c>
      <c r="E103" s="10">
        <v>1.1276271382270799</v>
      </c>
    </row>
    <row r="104" spans="1:5" x14ac:dyDescent="0.35">
      <c r="B104" t="s">
        <v>87</v>
      </c>
      <c r="C104" s="10">
        <v>0.204191296431916</v>
      </c>
      <c r="D104" s="10">
        <v>4.6059528384745103E-3</v>
      </c>
      <c r="E104" s="10">
        <v>0.99648694248282199</v>
      </c>
    </row>
    <row r="105" spans="1:5" x14ac:dyDescent="0.35">
      <c r="B105" t="s">
        <v>88</v>
      </c>
      <c r="C105" s="10">
        <v>-7.4756806973985804E-2</v>
      </c>
      <c r="D105" s="10">
        <v>4.8198922068853197E-3</v>
      </c>
      <c r="E105" s="10">
        <v>0.95070461043651</v>
      </c>
    </row>
    <row r="106" spans="1:5" x14ac:dyDescent="0.35">
      <c r="B106" t="s">
        <v>89</v>
      </c>
      <c r="C106" s="10">
        <v>-0.25016677033984402</v>
      </c>
      <c r="D106" s="10">
        <v>4.2413664479014701E-3</v>
      </c>
      <c r="E106" s="10">
        <v>0.90123890866208001</v>
      </c>
    </row>
    <row r="107" spans="1:5" x14ac:dyDescent="0.35">
      <c r="B107" t="s">
        <v>90</v>
      </c>
      <c r="C107" s="10">
        <v>0.17979799881511299</v>
      </c>
      <c r="D107" s="10">
        <v>5.9573793523114002E-3</v>
      </c>
      <c r="E107" s="10">
        <v>0.88194978649495603</v>
      </c>
    </row>
    <row r="108" spans="1:5" x14ac:dyDescent="0.35">
      <c r="B108" t="s">
        <v>91</v>
      </c>
      <c r="C108" s="10">
        <v>-0.21495969165533799</v>
      </c>
      <c r="D108" s="10">
        <v>4.9533928387296196E-3</v>
      </c>
      <c r="E108" s="10">
        <v>0.84869879131281101</v>
      </c>
    </row>
    <row r="109" spans="1:5" x14ac:dyDescent="0.35">
      <c r="B109" t="s">
        <v>92</v>
      </c>
      <c r="C109" s="10">
        <v>-0.22809853553675799</v>
      </c>
      <c r="D109" s="10">
        <v>4.8395166009831299E-3</v>
      </c>
      <c r="E109" s="10">
        <v>0.84286699432885803</v>
      </c>
    </row>
    <row r="110" spans="1:5" x14ac:dyDescent="0.35">
      <c r="B110" t="s">
        <v>93</v>
      </c>
      <c r="C110" s="10">
        <v>0.24691270821997199</v>
      </c>
      <c r="D110" s="10">
        <v>3.94656069399291E-3</v>
      </c>
      <c r="E110" s="10">
        <v>0.83249260196219799</v>
      </c>
    </row>
    <row r="111" spans="1:5" x14ac:dyDescent="0.35">
      <c r="B111" t="s">
        <v>94</v>
      </c>
      <c r="C111" s="10">
        <v>-7.7701577904073102E-2</v>
      </c>
      <c r="D111" s="10">
        <v>4.7550842488407897E-3</v>
      </c>
      <c r="E111" s="10">
        <v>0.82370508925463903</v>
      </c>
    </row>
    <row r="112" spans="1:5" x14ac:dyDescent="0.35">
      <c r="B112" t="s">
        <v>95</v>
      </c>
      <c r="C112" s="10">
        <v>-0.21306868031179599</v>
      </c>
      <c r="D112" s="10">
        <v>4.3029077368346999E-3</v>
      </c>
      <c r="E112" s="10">
        <v>0.82194456450356701</v>
      </c>
    </row>
    <row r="114" spans="1:1" x14ac:dyDescent="0.35">
      <c r="A114" s="1" t="s">
        <v>104</v>
      </c>
    </row>
  </sheetData>
  <conditionalFormatting sqref="C28:C41">
    <cfRule type="expression" dxfId="7" priority="8">
      <formula>ABS($C28)&gt;$C$27</formula>
    </cfRule>
  </conditionalFormatting>
  <conditionalFormatting sqref="C47:C95">
    <cfRule type="expression" dxfId="6" priority="1">
      <formula>ABS($C47)&gt;$C$45</formula>
    </cfRule>
  </conditionalFormatting>
  <conditionalFormatting sqref="H28:H41">
    <cfRule type="expression" dxfId="5" priority="2">
      <formula>ABS($H28)&gt;$H$27</formula>
    </cfRule>
  </conditionalFormatting>
  <conditionalFormatting sqref="H94:H95 H88:H92 H86 H84 H78:H82 H73:H76 H69:H71 H63:H67 H59:H61 H53:H57 H47:H51">
    <cfRule type="expression" dxfId="4" priority="9">
      <formula>ABS($H47)&gt;$H$45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Wu</dc:creator>
  <cp:lastModifiedBy>Francis Wu</cp:lastModifiedBy>
  <dcterms:created xsi:type="dcterms:W3CDTF">2026-07-30T19:43:25Z</dcterms:created>
  <dcterms:modified xsi:type="dcterms:W3CDTF">2026-07-31T18:24:20Z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